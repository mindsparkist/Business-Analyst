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eability Matrix" sheetId="1" state="visible" r:id="rId3"/>
    <sheet name="Requirements" sheetId="2" state="visible" r:id="rId4"/>
    <sheet name="Test Cases" sheetId="3" state="visible" r:id="rId5"/>
  </sheets>
  <definedNames>
    <definedName function="false" hidden="false" localSheetId="0" name="_xlnm.Print_Titles" vbProcedure="false">'Traceability Matrix'!$5:$6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Assumption: project metadata, requirement text, test case text and X mappings are all supplied by the user. No values in this workbook are derived from any external source.</t>
        </r>
      </text>
    </comment>
  </commentList>
</comments>
</file>

<file path=xl/sharedStrings.xml><?xml version="1.0" encoding="utf-8"?>
<sst xmlns="http://schemas.openxmlformats.org/spreadsheetml/2006/main" count="197" uniqueCount="130">
  <si>
    <t xml:space="preserve">REQUIREMENTS TRACEABILITY MATRIX (RTM)</t>
  </si>
  <si>
    <t xml:space="preserve">Project / Application:</t>
  </si>
  <si>
    <t xml:space="preserve">&lt;enter project name&gt;</t>
  </si>
  <si>
    <t xml:space="preserve">Document Version:</t>
  </si>
  <si>
    <t xml:space="preserve">1.0</t>
  </si>
  <si>
    <t xml:space="preserve">Date:</t>
  </si>
  <si>
    <t xml:space="preserve">&lt;dd-mmm-yyyy&gt;</t>
  </si>
  <si>
    <t xml:space="preserve">Module / Release:</t>
  </si>
  <si>
    <t xml:space="preserve">&lt;enter module or release&gt;</t>
  </si>
  <si>
    <t xml:space="preserve">Prepared By:</t>
  </si>
  <si>
    <t xml:space="preserve">&lt;name&gt;</t>
  </si>
  <si>
    <t xml:space="preserve">Review Status:</t>
  </si>
  <si>
    <t xml:space="preserve">Draft</t>
  </si>
  <si>
    <t xml:space="preserve">Test Case ID</t>
  </si>
  <si>
    <t xml:space="preserve">Test Case Description</t>
  </si>
  <si>
    <t xml:space="preserve">Test Type</t>
  </si>
  <si>
    <t xml:space="preserve">Execution Status</t>
  </si>
  <si>
    <t xml:space="preserve"># Reqs
Covered</t>
  </si>
  <si>
    <t xml:space="preserve">REQ-001</t>
  </si>
  <si>
    <t xml:space="preserve">REQ-002</t>
  </si>
  <si>
    <t xml:space="preserve">REQ-003</t>
  </si>
  <si>
    <t xml:space="preserve">REQ-004</t>
  </si>
  <si>
    <t xml:space="preserve">REQ-005</t>
  </si>
  <si>
    <t xml:space="preserve">REQ-006</t>
  </si>
  <si>
    <t xml:space="preserve">REQ-007</t>
  </si>
  <si>
    <t xml:space="preserve">REQ-008</t>
  </si>
  <si>
    <t xml:space="preserve">REQ-009</t>
  </si>
  <si>
    <t xml:space="preserve">REQ-010</t>
  </si>
  <si>
    <t xml:space="preserve">REQ-011</t>
  </si>
  <si>
    <t xml:space="preserve">REQ-012</t>
  </si>
  <si>
    <t xml:space="preserve">Requirement Description  (auto-filled from the Requirements sheet)  →</t>
  </si>
  <si>
    <t xml:space="preserve">TC-001</t>
  </si>
  <si>
    <t xml:space="preserve">Valid user logs in with correct credentials</t>
  </si>
  <si>
    <t xml:space="preserve">Functional</t>
  </si>
  <si>
    <t xml:space="preserve">Pass</t>
  </si>
  <si>
    <t xml:space="preserve">X</t>
  </si>
  <si>
    <t xml:space="preserve">TC-002</t>
  </si>
  <si>
    <t xml:space="preserve">Login rejected after 5 invalid attempts</t>
  </si>
  <si>
    <t xml:space="preserve">Negative</t>
  </si>
  <si>
    <t xml:space="preserve">TC-003</t>
  </si>
  <si>
    <t xml:space="preserve">MFA challenge is enforced on new device</t>
  </si>
  <si>
    <t xml:space="preserve">Security</t>
  </si>
  <si>
    <t xml:space="preserve">Fail</t>
  </si>
  <si>
    <t xml:space="preserve">TC-004</t>
  </si>
  <si>
    <t xml:space="preserve">Password reset link expires after 15 minutes</t>
  </si>
  <si>
    <t xml:space="preserve">Blocked</t>
  </si>
  <si>
    <t xml:space="preserve">TC-005</t>
  </si>
  <si>
    <t xml:space="preserve">Dashboard loads within 3 seconds at 500 users</t>
  </si>
  <si>
    <t xml:space="preserve">Performance</t>
  </si>
  <si>
    <t xml:space="preserve">Not Run</t>
  </si>
  <si>
    <t xml:space="preserve">TC-006</t>
  </si>
  <si>
    <t xml:space="preserve">TC-007</t>
  </si>
  <si>
    <t xml:space="preserve">TC-008</t>
  </si>
  <si>
    <t xml:space="preserve">TC-009</t>
  </si>
  <si>
    <t xml:space="preserve">TC-010</t>
  </si>
  <si>
    <t xml:space="preserve">TC-011</t>
  </si>
  <si>
    <t xml:space="preserve">TC-012</t>
  </si>
  <si>
    <t xml:space="preserve">TC-013</t>
  </si>
  <si>
    <t xml:space="preserve">TC-014</t>
  </si>
  <si>
    <t xml:space="preserve">TC-015</t>
  </si>
  <si>
    <t xml:space="preserve">TC-016</t>
  </si>
  <si>
    <t xml:space="preserve">TC-017</t>
  </si>
  <si>
    <t xml:space="preserve">TC-018</t>
  </si>
  <si>
    <t xml:space="preserve">TC-019</t>
  </si>
  <si>
    <t xml:space="preserve">TC-020</t>
  </si>
  <si>
    <t xml:space="preserve"># Test Cases Covering →</t>
  </si>
  <si>
    <t xml:space="preserve">Coverage Status →</t>
  </si>
  <si>
    <t xml:space="preserve">COVERAGE SUMMARY</t>
  </si>
  <si>
    <t xml:space="preserve">Total Requirements in Scope</t>
  </si>
  <si>
    <t xml:space="preserve">Requirements Covered</t>
  </si>
  <si>
    <t xml:space="preserve">Requirements with No Coverage (GAP)</t>
  </si>
  <si>
    <t xml:space="preserve">Requirement Coverage %</t>
  </si>
  <si>
    <t xml:space="preserve">Total Test Cases Mapped</t>
  </si>
  <si>
    <t xml:space="preserve">Test Cases Passed</t>
  </si>
  <si>
    <t xml:space="preserve">Test Cases Failed</t>
  </si>
  <si>
    <t xml:space="preserve">Test Execution Pass %</t>
  </si>
  <si>
    <t xml:space="preserve">HOW TO USE / LEGEND</t>
  </si>
  <si>
    <t xml:space="preserve">•  Mark an "X" where a test case verifies the requirement in that column. One requirement may be covered by many test cases, and one test case may cover many requirements.</t>
  </si>
  <si>
    <t xml:space="preserve">•  White cells are for your input. Grey cells are formulas (counts, coverage status, summary) - do not overwrite them.</t>
  </si>
  <si>
    <t xml:space="preserve">•  Requirement IDs in row 5 and their descriptions in row 6 are driven by the Requirements sheet. Add or rename requirements there first.</t>
  </si>
  <si>
    <t xml:space="preserve">•  A requirement with no "X" in its column is flagged GAP in red - every GAP must be closed or formally accepted before sign-off.</t>
  </si>
  <si>
    <t xml:space="preserve">•  Rows TC-001 to TC-005 are illustrative sample data showing the expected format. Delete them before real use.</t>
  </si>
  <si>
    <t xml:space="preserve">•  Execution Status values: Pass / Fail / Blocked / Not Run / Deferred (dropdown provided).</t>
  </si>
  <si>
    <t xml:space="preserve">REQUIREMENT REGISTER</t>
  </si>
  <si>
    <t xml:space="preserve">Source of truth for requirement IDs and descriptions. The Traceability Matrix pulls row 5 headers against column A and descriptions from column B.</t>
  </si>
  <si>
    <t xml:space="preserve">Req ID</t>
  </si>
  <si>
    <t xml:space="preserve">Requirement Description</t>
  </si>
  <si>
    <t xml:space="preserve">Requirement Type</t>
  </si>
  <si>
    <t xml:space="preserve">Priority</t>
  </si>
  <si>
    <t xml:space="preserve">Source Document / Section</t>
  </si>
  <si>
    <t xml:space="preserve">Business Owner</t>
  </si>
  <si>
    <t xml:space="preserve"># Test Cases Mapped</t>
  </si>
  <si>
    <t xml:space="preserve">Coverage Status</t>
  </si>
  <si>
    <t xml:space="preserve">The system shall authenticate a registered user with a valid username and password.</t>
  </si>
  <si>
    <t xml:space="preserve">High</t>
  </si>
  <si>
    <t xml:space="preserve">BRD v2.1 / Sec 4.1</t>
  </si>
  <si>
    <t xml:space="preserve">Identity Team</t>
  </si>
  <si>
    <t xml:space="preserve">The system shall lock an account after five consecutive failed login attempts.</t>
  </si>
  <si>
    <t xml:space="preserve">BRD v2.1 / Sec 4.3</t>
  </si>
  <si>
    <t xml:space="preserve">Security Team</t>
  </si>
  <si>
    <t xml:space="preserve">The system shall enforce multi-factor authentication for access from an unrecognised device.</t>
  </si>
  <si>
    <t xml:space="preserve">Critical</t>
  </si>
  <si>
    <t xml:space="preserve">SRS v1.4 / Sec 2.2</t>
  </si>
  <si>
    <t xml:space="preserve">The dashboard shall render within three seconds under a load of 500 concurrent users.</t>
  </si>
  <si>
    <t xml:space="preserve">Non-Functional</t>
  </si>
  <si>
    <t xml:space="preserve">Medium</t>
  </si>
  <si>
    <t xml:space="preserve">SRS v1.4 / Sec 6.5</t>
  </si>
  <si>
    <t xml:space="preserve">Platform Team</t>
  </si>
  <si>
    <t xml:space="preserve">Note: to add a requirement, fill the next free row here, then add a matching column header on the Traceability Matrix sheet using the same Req ID.</t>
  </si>
  <si>
    <t xml:space="preserve">TEST CASE REGISTER</t>
  </si>
  <si>
    <t xml:space="preserve">Detail behind each test case ID used in the matrix. Column H counts how many requirements the case is mapped to.</t>
  </si>
  <si>
    <t xml:space="preserve">Pre-conditions</t>
  </si>
  <si>
    <t xml:space="preserve">Expected Result</t>
  </si>
  <si>
    <t xml:space="preserve">Tested By</t>
  </si>
  <si>
    <t xml:space="preserve"># Reqs Mapped</t>
  </si>
  <si>
    <t xml:space="preserve">Defect ID</t>
  </si>
  <si>
    <t xml:space="preserve">Active account exists in the directory</t>
  </si>
  <si>
    <t xml:space="preserve">User is signed in and routed to the dashboard</t>
  </si>
  <si>
    <t xml:space="preserve">&lt;tester&gt;</t>
  </si>
  <si>
    <t xml:space="preserve">Active account; lockout policy enabled</t>
  </si>
  <si>
    <t xml:space="preserve">Account is locked and a notification is sent</t>
  </si>
  <si>
    <t xml:space="preserve">User signs in from an unrecognised device</t>
  </si>
  <si>
    <t xml:space="preserve">MFA prompt is shown before access is granted</t>
  </si>
  <si>
    <t xml:space="preserve">DEF-1021</t>
  </si>
  <si>
    <t xml:space="preserve">Reset link generated 16 minutes earlier</t>
  </si>
  <si>
    <t xml:space="preserve">Link is rejected with an expiry message</t>
  </si>
  <si>
    <t xml:space="preserve">DEF-1043</t>
  </si>
  <si>
    <t xml:space="preserve">Load test harness configured for 500 users</t>
  </si>
  <si>
    <t xml:space="preserve">95th percentile load time is under 3 seconds</t>
  </si>
  <si>
    <t xml:space="preserve">Note: rows TC-001 to TC-005 are sample data illustrating the expected format. A red 0 in '# Reqs Mapped' means the test case traces to no requirement.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</si>
</sst>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AFAFA"/>
      </patternFill>
    </fill>
    <fill>
      <patternFill patternType="solid">
        <fgColor rgb="FF1F3864"/>
        <bgColor rgb="FF333333"/>
      </patternFill>
    </fill>
    <fill>
      <patternFill patternType="solid">
        <fgColor rgb="FF2E5C9A"/>
        <bgColor rgb="FF333399"/>
      </patternFill>
    </fill>
    <fill>
      <patternFill patternType="solid">
        <fgColor rgb="FFEDEDED"/>
        <bgColor rgb="FFF2F2F2"/>
      </patternFill>
    </fill>
    <fill>
      <patternFill patternType="solid">
        <fgColor rgb="FFFAFAFA"/>
        <bgColor rgb="FFFFFFFF"/>
      </patternFill>
    </fill>
    <fill>
      <patternFill patternType="solid">
        <fgColor rgb="FFF2F2F2"/>
        <bgColor rgb="FFEDED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9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AFAFA"/>
      <rgbColor rgb="FFF2F2F2"/>
      <rgbColor rgb="FF660066"/>
      <rgbColor rgb="FFFF8080"/>
      <rgbColor rgb="FF2E5C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F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4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17" min="6" style="0" width="5.51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2" t="s">
        <v>1</v>
      </c>
      <c r="B2" s="3" t="s">
        <v>2</v>
      </c>
      <c r="D2" s="2" t="s">
        <v>3</v>
      </c>
      <c r="E2" s="3" t="s">
        <v>4</v>
      </c>
      <c r="G2" s="2" t="s">
        <v>5</v>
      </c>
      <c r="H2" s="3" t="s">
        <v>6</v>
      </c>
    </row>
    <row r="3" customFormat="false" ht="15" hidden="false" customHeight="false" outlineLevel="0" collapsed="false">
      <c r="A3" s="2" t="s">
        <v>7</v>
      </c>
      <c r="B3" s="3" t="s">
        <v>8</v>
      </c>
      <c r="D3" s="2" t="s">
        <v>9</v>
      </c>
      <c r="E3" s="3" t="s">
        <v>10</v>
      </c>
      <c r="G3" s="2" t="s">
        <v>11</v>
      </c>
      <c r="H3" s="3" t="s">
        <v>12</v>
      </c>
    </row>
    <row r="5" customFormat="false" ht="73.5" hidden="false" customHeight="tru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</row>
    <row r="6" customFormat="false" ht="129.75" hidden="false" customHeight="true" outlineLevel="0" collapsed="false">
      <c r="A6" s="6" t="s">
        <v>30</v>
      </c>
      <c r="B6" s="6"/>
      <c r="C6" s="6"/>
      <c r="D6" s="6"/>
      <c r="E6" s="6"/>
      <c r="F6" s="7" t="str">
        <f aca="false">IFERROR(INDEX(Requirements!$B$6:$B$105,MATCH(F$5,Requirements!$A$6:$A$105,0)),"")</f>
        <v>The system shall authenticate a registered user with a valid username and password.</v>
      </c>
      <c r="G6" s="7" t="str">
        <f aca="false">IFERROR(INDEX(Requirements!$B$6:$B$105,MATCH(G$5,Requirements!$A$6:$A$105,0)),"")</f>
        <v>The system shall lock an account after five consecutive failed login attempts.</v>
      </c>
      <c r="H6" s="7" t="str">
        <f aca="false">IFERROR(INDEX(Requirements!$B$6:$B$105,MATCH(H$5,Requirements!$A$6:$A$105,0)),"")</f>
        <v>The system shall enforce multi-factor authentication for access from an unrecognised device.</v>
      </c>
      <c r="I6" s="7" t="str">
        <f aca="false">IFERROR(INDEX(Requirements!$B$6:$B$105,MATCH(I$5,Requirements!$A$6:$A$105,0)),"")</f>
        <v>The dashboard shall render within three seconds under a load of 500 concurrent users.</v>
      </c>
      <c r="J6" s="7" t="n">
        <f aca="false">IFERROR(INDEX(Requirements!$B$6:$B$105,MATCH(J$5,Requirements!$A$6:$A$105,0)),"")</f>
        <v>0</v>
      </c>
      <c r="K6" s="7" t="n">
        <f aca="false">IFERROR(INDEX(Requirements!$B$6:$B$105,MATCH(K$5,Requirements!$A$6:$A$105,0)),"")</f>
        <v>0</v>
      </c>
      <c r="L6" s="7" t="n">
        <f aca="false">IFERROR(INDEX(Requirements!$B$6:$B$105,MATCH(L$5,Requirements!$A$6:$A$105,0)),"")</f>
        <v>0</v>
      </c>
      <c r="M6" s="7" t="n">
        <f aca="false">IFERROR(INDEX(Requirements!$B$6:$B$105,MATCH(M$5,Requirements!$A$6:$A$105,0)),"")</f>
        <v>0</v>
      </c>
      <c r="N6" s="7" t="n">
        <f aca="false">IFERROR(INDEX(Requirements!$B$6:$B$105,MATCH(N$5,Requirements!$A$6:$A$105,0)),"")</f>
        <v>0</v>
      </c>
      <c r="O6" s="7" t="n">
        <f aca="false">IFERROR(INDEX(Requirements!$B$6:$B$105,MATCH(O$5,Requirements!$A$6:$A$105,0)),"")</f>
        <v>0</v>
      </c>
      <c r="P6" s="7" t="n">
        <f aca="false">IFERROR(INDEX(Requirements!$B$6:$B$105,MATCH(P$5,Requirements!$A$6:$A$105,0)),"")</f>
        <v>0</v>
      </c>
      <c r="Q6" s="7" t="n">
        <f aca="false">IFERROR(INDEX(Requirements!$B$6:$B$105,MATCH(Q$5,Requirements!$A$6:$A$105,0)),"")</f>
        <v>0</v>
      </c>
    </row>
    <row r="7" customFormat="false" ht="18" hidden="false" customHeight="true" outlineLevel="0" collapsed="false">
      <c r="A7" s="8" t="s">
        <v>31</v>
      </c>
      <c r="B7" s="9" t="s">
        <v>32</v>
      </c>
      <c r="C7" s="8" t="s">
        <v>33</v>
      </c>
      <c r="D7" s="8" t="s">
        <v>34</v>
      </c>
      <c r="E7" s="10" t="n">
        <f aca="false">IF($A7="","",COUNTIF(F7:Q7,"x"))</f>
        <v>1</v>
      </c>
      <c r="F7" s="11" t="s">
        <v>35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customFormat="false" ht="18" hidden="false" customHeight="true" outlineLevel="0" collapsed="false">
      <c r="A8" s="8" t="s">
        <v>36</v>
      </c>
      <c r="B8" s="9" t="s">
        <v>37</v>
      </c>
      <c r="C8" s="8" t="s">
        <v>38</v>
      </c>
      <c r="D8" s="8" t="s">
        <v>34</v>
      </c>
      <c r="E8" s="10" t="n">
        <f aca="false">IF($A8="","",COUNTIF(F8:Q8,"x"))</f>
        <v>1</v>
      </c>
      <c r="F8" s="12"/>
      <c r="G8" s="12" t="s">
        <v>35</v>
      </c>
      <c r="H8" s="12"/>
      <c r="I8" s="12"/>
      <c r="J8" s="12"/>
      <c r="K8" s="12"/>
      <c r="L8" s="12"/>
      <c r="M8" s="12"/>
      <c r="N8" s="12"/>
      <c r="O8" s="12"/>
      <c r="P8" s="12"/>
      <c r="Q8" s="12"/>
    </row>
    <row r="9" customFormat="false" ht="18" hidden="false" customHeight="true" outlineLevel="0" collapsed="false">
      <c r="A9" s="8" t="s">
        <v>39</v>
      </c>
      <c r="B9" s="9" t="s">
        <v>40</v>
      </c>
      <c r="C9" s="8" t="s">
        <v>41</v>
      </c>
      <c r="D9" s="8" t="s">
        <v>42</v>
      </c>
      <c r="E9" s="10" t="n">
        <f aca="false">IF($A9="","",COUNTIF(F9:Q9,"x"))</f>
        <v>2</v>
      </c>
      <c r="F9" s="11"/>
      <c r="G9" s="11" t="s">
        <v>35</v>
      </c>
      <c r="H9" s="11" t="s">
        <v>35</v>
      </c>
      <c r="I9" s="11"/>
      <c r="J9" s="11"/>
      <c r="K9" s="11"/>
      <c r="L9" s="11"/>
      <c r="M9" s="11"/>
      <c r="N9" s="11"/>
      <c r="O9" s="11"/>
      <c r="P9" s="11"/>
      <c r="Q9" s="11"/>
    </row>
    <row r="10" customFormat="false" ht="18" hidden="false" customHeight="true" outlineLevel="0" collapsed="false">
      <c r="A10" s="8" t="s">
        <v>43</v>
      </c>
      <c r="B10" s="9" t="s">
        <v>44</v>
      </c>
      <c r="C10" s="8" t="s">
        <v>33</v>
      </c>
      <c r="D10" s="8" t="s">
        <v>45</v>
      </c>
      <c r="E10" s="10" t="n">
        <f aca="false">IF($A10="","",COUNTIF(F10:Q10,"x"))</f>
        <v>1</v>
      </c>
      <c r="F10" s="12"/>
      <c r="G10" s="12"/>
      <c r="H10" s="12" t="s">
        <v>35</v>
      </c>
      <c r="I10" s="12"/>
      <c r="J10" s="12"/>
      <c r="K10" s="12"/>
      <c r="L10" s="12"/>
      <c r="M10" s="12"/>
      <c r="N10" s="12"/>
      <c r="O10" s="12"/>
      <c r="P10" s="12"/>
      <c r="Q10" s="12"/>
    </row>
    <row r="11" customFormat="false" ht="18" hidden="false" customHeight="true" outlineLevel="0" collapsed="false">
      <c r="A11" s="8" t="s">
        <v>46</v>
      </c>
      <c r="B11" s="9" t="s">
        <v>47</v>
      </c>
      <c r="C11" s="8" t="s">
        <v>48</v>
      </c>
      <c r="D11" s="8" t="s">
        <v>49</v>
      </c>
      <c r="E11" s="10" t="n">
        <f aca="false">IF($A11="","",COUNTIF(F11:Q11,"x"))</f>
        <v>1</v>
      </c>
      <c r="F11" s="11"/>
      <c r="G11" s="11"/>
      <c r="H11" s="11"/>
      <c r="I11" s="11" t="s">
        <v>35</v>
      </c>
      <c r="J11" s="11"/>
      <c r="K11" s="11"/>
      <c r="L11" s="11"/>
      <c r="M11" s="11"/>
      <c r="N11" s="11"/>
      <c r="O11" s="11"/>
      <c r="P11" s="11"/>
      <c r="Q11" s="11"/>
    </row>
    <row r="12" customFormat="false" ht="18" hidden="false" customHeight="true" outlineLevel="0" collapsed="false">
      <c r="A12" s="8" t="s">
        <v>50</v>
      </c>
      <c r="B12" s="9"/>
      <c r="C12" s="8"/>
      <c r="D12" s="8"/>
      <c r="E12" s="10" t="n">
        <f aca="false">IF($A12="","",COUNTIF(F12:Q12,"x"))</f>
        <v>0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customFormat="false" ht="18" hidden="false" customHeight="true" outlineLevel="0" collapsed="false">
      <c r="A13" s="8" t="s">
        <v>51</v>
      </c>
      <c r="B13" s="9"/>
      <c r="C13" s="8"/>
      <c r="D13" s="8"/>
      <c r="E13" s="10" t="n">
        <f aca="false">IF($A13="","",COUNTIF(F13:Q13,"x"))</f>
        <v>0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customFormat="false" ht="18" hidden="false" customHeight="true" outlineLevel="0" collapsed="false">
      <c r="A14" s="8" t="s">
        <v>52</v>
      </c>
      <c r="B14" s="9"/>
      <c r="C14" s="8"/>
      <c r="D14" s="8"/>
      <c r="E14" s="10" t="n">
        <f aca="false">IF($A14="","",COUNTIF(F14:Q14,"x"))</f>
        <v>0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customFormat="false" ht="18" hidden="false" customHeight="true" outlineLevel="0" collapsed="false">
      <c r="A15" s="8" t="s">
        <v>53</v>
      </c>
      <c r="B15" s="9"/>
      <c r="C15" s="8"/>
      <c r="D15" s="8"/>
      <c r="E15" s="10" t="n">
        <f aca="false">IF($A15="","",COUNTIF(F15:Q15,"x"))</f>
        <v>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customFormat="false" ht="18" hidden="false" customHeight="true" outlineLevel="0" collapsed="false">
      <c r="A16" s="8" t="s">
        <v>54</v>
      </c>
      <c r="B16" s="9"/>
      <c r="C16" s="8"/>
      <c r="D16" s="8"/>
      <c r="E16" s="10" t="n">
        <f aca="false">IF($A16="","",COUNTIF(F16:Q16,"x"))</f>
        <v>0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customFormat="false" ht="18" hidden="false" customHeight="true" outlineLevel="0" collapsed="false">
      <c r="A17" s="8" t="s">
        <v>55</v>
      </c>
      <c r="B17" s="9"/>
      <c r="C17" s="8"/>
      <c r="D17" s="8"/>
      <c r="E17" s="10" t="n">
        <f aca="false">IF($A17="","",COUNTIF(F17:Q17,"x"))</f>
        <v>0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customFormat="false" ht="18" hidden="false" customHeight="true" outlineLevel="0" collapsed="false">
      <c r="A18" s="8" t="s">
        <v>56</v>
      </c>
      <c r="B18" s="9"/>
      <c r="C18" s="8"/>
      <c r="D18" s="8"/>
      <c r="E18" s="10" t="n">
        <f aca="false">IF($A18="","",COUNTIF(F18:Q18,"x"))</f>
        <v>0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customFormat="false" ht="18" hidden="false" customHeight="true" outlineLevel="0" collapsed="false">
      <c r="A19" s="8" t="s">
        <v>57</v>
      </c>
      <c r="B19" s="9"/>
      <c r="C19" s="8"/>
      <c r="D19" s="8"/>
      <c r="E19" s="10" t="n">
        <f aca="false">IF($A19="","",COUNTIF(F19:Q19,"x"))</f>
        <v>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customFormat="false" ht="18" hidden="false" customHeight="true" outlineLevel="0" collapsed="false">
      <c r="A20" s="8" t="s">
        <v>58</v>
      </c>
      <c r="B20" s="9"/>
      <c r="C20" s="8"/>
      <c r="D20" s="8"/>
      <c r="E20" s="10" t="n">
        <f aca="false">IF($A20="","",COUNTIF(F20:Q20,"x"))</f>
        <v>0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customFormat="false" ht="18" hidden="false" customHeight="true" outlineLevel="0" collapsed="false">
      <c r="A21" s="8" t="s">
        <v>59</v>
      </c>
      <c r="B21" s="9"/>
      <c r="C21" s="8"/>
      <c r="D21" s="8"/>
      <c r="E21" s="10" t="n">
        <f aca="false">IF($A21="","",COUNTIF(F21:Q21,"x"))</f>
        <v>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customFormat="false" ht="18" hidden="false" customHeight="true" outlineLevel="0" collapsed="false">
      <c r="A22" s="8" t="s">
        <v>60</v>
      </c>
      <c r="B22" s="9"/>
      <c r="C22" s="8"/>
      <c r="D22" s="8"/>
      <c r="E22" s="10" t="n">
        <f aca="false">IF($A22="","",COUNTIF(F22:Q22,"x"))</f>
        <v>0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customFormat="false" ht="18" hidden="false" customHeight="true" outlineLevel="0" collapsed="false">
      <c r="A23" s="8" t="s">
        <v>61</v>
      </c>
      <c r="B23" s="9"/>
      <c r="C23" s="8"/>
      <c r="D23" s="8"/>
      <c r="E23" s="10" t="n">
        <f aca="false">IF($A23="","",COUNTIF(F23:Q23,"x"))</f>
        <v>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customFormat="false" ht="18" hidden="false" customHeight="true" outlineLevel="0" collapsed="false">
      <c r="A24" s="8" t="s">
        <v>62</v>
      </c>
      <c r="B24" s="9"/>
      <c r="C24" s="8"/>
      <c r="D24" s="8"/>
      <c r="E24" s="10" t="n">
        <f aca="false">IF($A24="","",COUNTIF(F24:Q24,"x"))</f>
        <v>0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customFormat="false" ht="18" hidden="false" customHeight="true" outlineLevel="0" collapsed="false">
      <c r="A25" s="8" t="s">
        <v>63</v>
      </c>
      <c r="B25" s="9"/>
      <c r="C25" s="8"/>
      <c r="D25" s="8"/>
      <c r="E25" s="10" t="n">
        <f aca="false">IF($A25="","",COUNTIF(F25:Q25,"x"))</f>
        <v>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customFormat="false" ht="18" hidden="false" customHeight="true" outlineLevel="0" collapsed="false">
      <c r="A26" s="8" t="s">
        <v>64</v>
      </c>
      <c r="B26" s="9"/>
      <c r="C26" s="8"/>
      <c r="D26" s="8"/>
      <c r="E26" s="10" t="n">
        <f aca="false">IF($A26="","",COUNTIF(F26:Q26,"x"))</f>
        <v>0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customFormat="false" ht="15" hidden="false" customHeight="false" outlineLevel="0" collapsed="false">
      <c r="A27" s="6" t="s">
        <v>65</v>
      </c>
      <c r="B27" s="6"/>
      <c r="C27" s="6"/>
      <c r="D27" s="6"/>
      <c r="E27" s="6"/>
      <c r="F27" s="10" t="n">
        <f aca="false">COUNTIF(F7:F26,"x")</f>
        <v>1</v>
      </c>
      <c r="G27" s="10" t="n">
        <f aca="false">COUNTIF(G7:G26,"x")</f>
        <v>2</v>
      </c>
      <c r="H27" s="10" t="n">
        <f aca="false">COUNTIF(H7:H26,"x")</f>
        <v>2</v>
      </c>
      <c r="I27" s="10" t="n">
        <f aca="false">COUNTIF(I7:I26,"x")</f>
        <v>1</v>
      </c>
      <c r="J27" s="10" t="n">
        <f aca="false">COUNTIF(J7:J26,"x")</f>
        <v>0</v>
      </c>
      <c r="K27" s="10" t="n">
        <f aca="false">COUNTIF(K7:K26,"x")</f>
        <v>0</v>
      </c>
      <c r="L27" s="10" t="n">
        <f aca="false">COUNTIF(L7:L26,"x")</f>
        <v>0</v>
      </c>
      <c r="M27" s="10" t="n">
        <f aca="false">COUNTIF(M7:M26,"x")</f>
        <v>0</v>
      </c>
      <c r="N27" s="10" t="n">
        <f aca="false">COUNTIF(N7:N26,"x")</f>
        <v>0</v>
      </c>
      <c r="O27" s="10" t="n">
        <f aca="false">COUNTIF(O7:O26,"x")</f>
        <v>0</v>
      </c>
      <c r="P27" s="10" t="n">
        <f aca="false">COUNTIF(P7:P26,"x")</f>
        <v>0</v>
      </c>
      <c r="Q27" s="10" t="n">
        <f aca="false">COUNTIF(Q7:Q26,"x")</f>
        <v>0</v>
      </c>
    </row>
    <row r="28" customFormat="false" ht="18" hidden="false" customHeight="true" outlineLevel="0" collapsed="false">
      <c r="A28" s="6" t="s">
        <v>66</v>
      </c>
      <c r="B28" s="6"/>
      <c r="C28" s="6"/>
      <c r="D28" s="6"/>
      <c r="E28" s="6"/>
      <c r="F28" s="13" t="str">
        <f aca="false">IF(F27&gt;0,"Covered","GAP")</f>
        <v>Covered</v>
      </c>
      <c r="G28" s="13" t="str">
        <f aca="false">IF(G27&gt;0,"Covered","GAP")</f>
        <v>Covered</v>
      </c>
      <c r="H28" s="13" t="str">
        <f aca="false">IF(H27&gt;0,"Covered","GAP")</f>
        <v>Covered</v>
      </c>
      <c r="I28" s="13" t="str">
        <f aca="false">IF(I27&gt;0,"Covered","GAP")</f>
        <v>Covered</v>
      </c>
      <c r="J28" s="13" t="str">
        <f aca="false">IF(J27&gt;0,"Covered","GAP")</f>
        <v>GAP</v>
      </c>
      <c r="K28" s="13" t="str">
        <f aca="false">IF(K27&gt;0,"Covered","GAP")</f>
        <v>GAP</v>
      </c>
      <c r="L28" s="13" t="str">
        <f aca="false">IF(L27&gt;0,"Covered","GAP")</f>
        <v>GAP</v>
      </c>
      <c r="M28" s="13" t="str">
        <f aca="false">IF(M27&gt;0,"Covered","GAP")</f>
        <v>GAP</v>
      </c>
      <c r="N28" s="13" t="str">
        <f aca="false">IF(N27&gt;0,"Covered","GAP")</f>
        <v>GAP</v>
      </c>
      <c r="O28" s="13" t="str">
        <f aca="false">IF(O27&gt;0,"Covered","GAP")</f>
        <v>GAP</v>
      </c>
      <c r="P28" s="13" t="str">
        <f aca="false">IF(P27&gt;0,"Covered","GAP")</f>
        <v>GAP</v>
      </c>
      <c r="Q28" s="13" t="str">
        <f aca="false">IF(Q27&gt;0,"Covered","GAP")</f>
        <v>GAP</v>
      </c>
    </row>
    <row r="30" customFormat="false" ht="15" hidden="false" customHeight="false" outlineLevel="0" collapsed="false">
      <c r="A30" s="14" t="s">
        <v>67</v>
      </c>
      <c r="B30" s="14"/>
      <c r="C30" s="14"/>
      <c r="D30" s="14"/>
      <c r="E30" s="14"/>
    </row>
    <row r="31" customFormat="false" ht="15" hidden="false" customHeight="false" outlineLevel="0" collapsed="false">
      <c r="A31" s="15" t="s">
        <v>68</v>
      </c>
      <c r="B31" s="15"/>
      <c r="C31" s="15"/>
      <c r="D31" s="15"/>
      <c r="E31" s="16" t="n">
        <f aca="false">COUNTA(Requirements!$A$6:$A$105)</f>
        <v>12</v>
      </c>
    </row>
    <row r="32" customFormat="false" ht="15" hidden="false" customHeight="false" outlineLevel="0" collapsed="false">
      <c r="A32" s="15" t="s">
        <v>69</v>
      </c>
      <c r="B32" s="15"/>
      <c r="C32" s="15"/>
      <c r="D32" s="15"/>
      <c r="E32" s="16" t="n">
        <f aca="false">COUNTIF($F$28:$Q$28,"Covered")</f>
        <v>4</v>
      </c>
    </row>
    <row r="33" customFormat="false" ht="15" hidden="false" customHeight="false" outlineLevel="0" collapsed="false">
      <c r="A33" s="15" t="s">
        <v>70</v>
      </c>
      <c r="B33" s="15"/>
      <c r="C33" s="15"/>
      <c r="D33" s="15"/>
      <c r="E33" s="16" t="n">
        <f aca="false">COUNTIF($F$28:$Q$28,"GAP")</f>
        <v>8</v>
      </c>
    </row>
    <row r="34" customFormat="false" ht="15" hidden="false" customHeight="false" outlineLevel="0" collapsed="false">
      <c r="A34" s="15" t="s">
        <v>71</v>
      </c>
      <c r="B34" s="15"/>
      <c r="C34" s="15"/>
      <c r="D34" s="15"/>
      <c r="E34" s="17" t="n">
        <f aca="false">IFERROR($E$32/$E$31,0)</f>
        <v>0.333333333333333</v>
      </c>
    </row>
    <row r="35" customFormat="false" ht="15" hidden="false" customHeight="false" outlineLevel="0" collapsed="false">
      <c r="A35" s="15" t="s">
        <v>72</v>
      </c>
      <c r="B35" s="15"/>
      <c r="C35" s="15"/>
      <c r="D35" s="15"/>
      <c r="E35" s="16" t="n">
        <f aca="false">COUNTIF($E$7:$E$26,"&gt;0")</f>
        <v>5</v>
      </c>
    </row>
    <row r="36" customFormat="false" ht="15" hidden="false" customHeight="false" outlineLevel="0" collapsed="false">
      <c r="A36" s="15" t="s">
        <v>73</v>
      </c>
      <c r="B36" s="15"/>
      <c r="C36" s="15"/>
      <c r="D36" s="15"/>
      <c r="E36" s="16" t="n">
        <f aca="false">COUNTIF($D$7:$D$26,"Pass")</f>
        <v>2</v>
      </c>
    </row>
    <row r="37" customFormat="false" ht="15" hidden="false" customHeight="false" outlineLevel="0" collapsed="false">
      <c r="A37" s="15" t="s">
        <v>74</v>
      </c>
      <c r="B37" s="15"/>
      <c r="C37" s="15"/>
      <c r="D37" s="15"/>
      <c r="E37" s="16" t="n">
        <f aca="false">COUNTIF($D$7:$D$26,"Fail")</f>
        <v>1</v>
      </c>
    </row>
    <row r="38" customFormat="false" ht="15" hidden="false" customHeight="false" outlineLevel="0" collapsed="false">
      <c r="A38" s="15" t="s">
        <v>75</v>
      </c>
      <c r="B38" s="15"/>
      <c r="C38" s="15"/>
      <c r="D38" s="15"/>
      <c r="E38" s="17" t="n">
        <f aca="false">IFERROR($E$36/COUNTIF($D$7:$D$26,"&lt;&gt;"),0)</f>
        <v>0.4</v>
      </c>
    </row>
    <row r="40" customFormat="false" ht="15" hidden="false" customHeight="false" outlineLevel="0" collapsed="false">
      <c r="A40" s="18" t="s">
        <v>76</v>
      </c>
    </row>
    <row r="41" customFormat="false" ht="12.75" hidden="false" customHeight="true" outlineLevel="0" collapsed="false">
      <c r="A41" s="19" t="s">
        <v>77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</row>
    <row r="42" customFormat="false" ht="12.75" hidden="false" customHeight="true" outlineLevel="0" collapsed="false">
      <c r="A42" s="19" t="s">
        <v>78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</row>
    <row r="43" customFormat="false" ht="12.75" hidden="false" customHeight="true" outlineLevel="0" collapsed="false">
      <c r="A43" s="19" t="s">
        <v>79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</row>
    <row r="44" customFormat="false" ht="12.75" hidden="false" customHeight="true" outlineLevel="0" collapsed="false">
      <c r="A44" s="19" t="s">
        <v>80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</row>
    <row r="45" customFormat="false" ht="12.75" hidden="false" customHeight="true" outlineLevel="0" collapsed="false">
      <c r="A45" s="19" t="s">
        <v>81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</row>
    <row r="46" customFormat="false" ht="12.75" hidden="false" customHeight="true" outlineLevel="0" collapsed="false">
      <c r="A46" s="19" t="s">
        <v>82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</sheetData>
  <mergeCells count="19">
    <mergeCell ref="A1:Q1"/>
    <mergeCell ref="A6:E6"/>
    <mergeCell ref="A27:E27"/>
    <mergeCell ref="A28:E28"/>
    <mergeCell ref="A30:E30"/>
    <mergeCell ref="A31:D31"/>
    <mergeCell ref="A32:D32"/>
    <mergeCell ref="A33:D33"/>
    <mergeCell ref="A34:D34"/>
    <mergeCell ref="A35:D35"/>
    <mergeCell ref="A36:D36"/>
    <mergeCell ref="A37:D37"/>
    <mergeCell ref="A38:D38"/>
    <mergeCell ref="A41:Q41"/>
    <mergeCell ref="A42:Q42"/>
    <mergeCell ref="A43:Q43"/>
    <mergeCell ref="A44:Q44"/>
    <mergeCell ref="A45:Q45"/>
    <mergeCell ref="A46:Q46"/>
  </mergeCells>
  <conditionalFormatting sqref="F28:Q28">
    <cfRule type="cellIs" priority="2" operator="equal" aboveAverage="0" equalAverage="0" bottom="0" percent="0" rank="0" text="" dxfId="0">
      <formula>"GAP"</formula>
    </cfRule>
    <cfRule type="cellIs" priority="3" operator="equal" aboveAverage="0" equalAverage="0" bottom="0" percent="0" rank="0" text="" dxfId="1">
      <formula>"Covered"</formula>
    </cfRule>
  </conditionalFormatting>
  <conditionalFormatting sqref="D7:D26">
    <cfRule type="cellIs" priority="4" operator="equal" aboveAverage="0" equalAverage="0" bottom="0" percent="0" rank="0" text="" dxfId="1">
      <formula>"Pass"</formula>
    </cfRule>
    <cfRule type="cellIs" priority="5" operator="equal" aboveAverage="0" equalAverage="0" bottom="0" percent="0" rank="0" text="" dxfId="0">
      <formula>"Fail"</formula>
    </cfRule>
    <cfRule type="cellIs" priority="6" operator="equal" aboveAverage="0" equalAverage="0" bottom="0" percent="0" rank="0" text="" dxfId="2">
      <formula>"Blocked"</formula>
    </cfRule>
  </conditionalFormatting>
  <conditionalFormatting sqref="E7:E26">
    <cfRule type="cellIs" priority="7" operator="equal" aboveAverage="0" equalAverage="0" bottom="0" percent="0" rank="0" text="" dxfId="0">
      <formula>0</formula>
    </cfRule>
  </conditionalFormatting>
  <dataValidations count="3">
    <dataValidation allowBlank="true" errorStyle="stop" operator="between" showDropDown="false" showErrorMessage="false" showInputMessage="false" sqref="F7:Q26" type="list">
      <formula1>"X"</formula1>
      <formula2>0</formula2>
    </dataValidation>
    <dataValidation allowBlank="true" errorStyle="stop" operator="between" showDropDown="false" showErrorMessage="false" showInputMessage="false" sqref="D7:D26" type="list">
      <formula1>"Pass,Fail,Blocked,Not Run,Deferred"</formula1>
      <formula2>0</formula2>
    </dataValidation>
    <dataValidation allowBlank="true" errorStyle="stop" operator="between" showDropDown="false" showErrorMessage="false" showInputMessage="false" sqref="C7:C26" type="list">
      <formula1>"Functional,Negative,Regression,Integration,Security,Performance,UAT"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28"/>
    <col collapsed="false" customWidth="true" hidden="false" outlineLevel="0" max="7" min="6" style="0" width="18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83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9" t="s">
        <v>84</v>
      </c>
      <c r="B2" s="19"/>
      <c r="C2" s="19"/>
      <c r="D2" s="19"/>
      <c r="E2" s="19"/>
      <c r="F2" s="19"/>
      <c r="G2" s="19"/>
      <c r="H2" s="19"/>
    </row>
    <row r="5" customFormat="false" ht="30" hidden="false" customHeight="true" outlineLevel="0" collapsed="false">
      <c r="A5" s="4" t="s">
        <v>85</v>
      </c>
      <c r="B5" s="4" t="s">
        <v>86</v>
      </c>
      <c r="C5" s="4" t="s">
        <v>87</v>
      </c>
      <c r="D5" s="4" t="s">
        <v>88</v>
      </c>
      <c r="E5" s="4" t="s">
        <v>89</v>
      </c>
      <c r="F5" s="4" t="s">
        <v>90</v>
      </c>
      <c r="G5" s="4" t="s">
        <v>91</v>
      </c>
      <c r="H5" s="4" t="s">
        <v>92</v>
      </c>
    </row>
    <row r="6" customFormat="false" ht="27.75" hidden="false" customHeight="true" outlineLevel="0" collapsed="false">
      <c r="A6" s="8" t="s">
        <v>18</v>
      </c>
      <c r="B6" s="9" t="s">
        <v>93</v>
      </c>
      <c r="C6" s="8" t="s">
        <v>33</v>
      </c>
      <c r="D6" s="8" t="s">
        <v>94</v>
      </c>
      <c r="E6" s="9" t="s">
        <v>95</v>
      </c>
      <c r="F6" s="8" t="s">
        <v>96</v>
      </c>
      <c r="G6" s="10" t="n">
        <f aca="false">IFERROR(HLOOKUP($A6,'Traceability Matrix'!$F$5:$Q$27,23,FALSE()),0)</f>
        <v>1</v>
      </c>
      <c r="H6" s="13" t="str">
        <f aca="false">IF($A6="","",IF($G6&gt;0,"Covered","GAP"))</f>
        <v>Covered</v>
      </c>
    </row>
    <row r="7" customFormat="false" ht="27.75" hidden="false" customHeight="true" outlineLevel="0" collapsed="false">
      <c r="A7" s="8" t="s">
        <v>19</v>
      </c>
      <c r="B7" s="9" t="s">
        <v>97</v>
      </c>
      <c r="C7" s="8" t="s">
        <v>41</v>
      </c>
      <c r="D7" s="8" t="s">
        <v>94</v>
      </c>
      <c r="E7" s="9" t="s">
        <v>98</v>
      </c>
      <c r="F7" s="8" t="s">
        <v>99</v>
      </c>
      <c r="G7" s="10" t="n">
        <f aca="false">IFERROR(HLOOKUP($A7,'Traceability Matrix'!$F$5:$Q$27,23,FALSE()),0)</f>
        <v>2</v>
      </c>
      <c r="H7" s="13" t="str">
        <f aca="false">IF($A7="","",IF($G7&gt;0,"Covered","GAP"))</f>
        <v>Covered</v>
      </c>
    </row>
    <row r="8" customFormat="false" ht="27.75" hidden="false" customHeight="true" outlineLevel="0" collapsed="false">
      <c r="A8" s="8" t="s">
        <v>20</v>
      </c>
      <c r="B8" s="9" t="s">
        <v>100</v>
      </c>
      <c r="C8" s="8" t="s">
        <v>41</v>
      </c>
      <c r="D8" s="8" t="s">
        <v>101</v>
      </c>
      <c r="E8" s="9" t="s">
        <v>102</v>
      </c>
      <c r="F8" s="8" t="s">
        <v>99</v>
      </c>
      <c r="G8" s="10" t="n">
        <f aca="false">IFERROR(HLOOKUP($A8,'Traceability Matrix'!$F$5:$Q$27,23,FALSE()),0)</f>
        <v>2</v>
      </c>
      <c r="H8" s="13" t="str">
        <f aca="false">IF($A8="","",IF($G8&gt;0,"Covered","GAP"))</f>
        <v>Covered</v>
      </c>
    </row>
    <row r="9" customFormat="false" ht="27.75" hidden="false" customHeight="true" outlineLevel="0" collapsed="false">
      <c r="A9" s="8" t="s">
        <v>21</v>
      </c>
      <c r="B9" s="9" t="s">
        <v>103</v>
      </c>
      <c r="C9" s="8" t="s">
        <v>104</v>
      </c>
      <c r="D9" s="8" t="s">
        <v>105</v>
      </c>
      <c r="E9" s="9" t="s">
        <v>106</v>
      </c>
      <c r="F9" s="8" t="s">
        <v>107</v>
      </c>
      <c r="G9" s="10" t="n">
        <f aca="false">IFERROR(HLOOKUP($A9,'Traceability Matrix'!$F$5:$Q$27,23,FALSE()),0)</f>
        <v>1</v>
      </c>
      <c r="H9" s="13" t="str">
        <f aca="false">IF($A9="","",IF($G9&gt;0,"Covered","GAP"))</f>
        <v>Covered</v>
      </c>
    </row>
    <row r="10" customFormat="false" ht="27.75" hidden="false" customHeight="true" outlineLevel="0" collapsed="false">
      <c r="A10" s="8" t="s">
        <v>22</v>
      </c>
      <c r="B10" s="9"/>
      <c r="C10" s="8"/>
      <c r="D10" s="8"/>
      <c r="E10" s="9"/>
      <c r="F10" s="8"/>
      <c r="G10" s="10" t="n">
        <f aca="false">IFERROR(HLOOKUP($A10,'Traceability Matrix'!$F$5:$Q$27,23,FALSE()),0)</f>
        <v>0</v>
      </c>
      <c r="H10" s="13" t="str">
        <f aca="false">IF($A10="","",IF($G10&gt;0,"Covered","GAP"))</f>
        <v>GAP</v>
      </c>
    </row>
    <row r="11" customFormat="false" ht="27.75" hidden="false" customHeight="true" outlineLevel="0" collapsed="false">
      <c r="A11" s="8" t="s">
        <v>23</v>
      </c>
      <c r="B11" s="9"/>
      <c r="C11" s="8"/>
      <c r="D11" s="8"/>
      <c r="E11" s="9"/>
      <c r="F11" s="8"/>
      <c r="G11" s="10" t="n">
        <f aca="false">IFERROR(HLOOKUP($A11,'Traceability Matrix'!$F$5:$Q$27,23,FALSE()),0)</f>
        <v>0</v>
      </c>
      <c r="H11" s="13" t="str">
        <f aca="false">IF($A11="","",IF($G11&gt;0,"Covered","GAP"))</f>
        <v>GAP</v>
      </c>
    </row>
    <row r="12" customFormat="false" ht="27.75" hidden="false" customHeight="true" outlineLevel="0" collapsed="false">
      <c r="A12" s="8" t="s">
        <v>24</v>
      </c>
      <c r="B12" s="9"/>
      <c r="C12" s="8"/>
      <c r="D12" s="8"/>
      <c r="E12" s="9"/>
      <c r="F12" s="8"/>
      <c r="G12" s="10" t="n">
        <f aca="false">IFERROR(HLOOKUP($A12,'Traceability Matrix'!$F$5:$Q$27,23,FALSE()),0)</f>
        <v>0</v>
      </c>
      <c r="H12" s="13" t="str">
        <f aca="false">IF($A12="","",IF($G12&gt;0,"Covered","GAP"))</f>
        <v>GAP</v>
      </c>
    </row>
    <row r="13" customFormat="false" ht="27.75" hidden="false" customHeight="true" outlineLevel="0" collapsed="false">
      <c r="A13" s="8" t="s">
        <v>25</v>
      </c>
      <c r="B13" s="9"/>
      <c r="C13" s="8"/>
      <c r="D13" s="8"/>
      <c r="E13" s="9"/>
      <c r="F13" s="8"/>
      <c r="G13" s="10" t="n">
        <f aca="false">IFERROR(HLOOKUP($A13,'Traceability Matrix'!$F$5:$Q$27,23,FALSE()),0)</f>
        <v>0</v>
      </c>
      <c r="H13" s="13" t="str">
        <f aca="false">IF($A13="","",IF($G13&gt;0,"Covered","GAP"))</f>
        <v>GAP</v>
      </c>
    </row>
    <row r="14" customFormat="false" ht="27.75" hidden="false" customHeight="true" outlineLevel="0" collapsed="false">
      <c r="A14" s="8" t="s">
        <v>26</v>
      </c>
      <c r="B14" s="9"/>
      <c r="C14" s="8"/>
      <c r="D14" s="8"/>
      <c r="E14" s="9"/>
      <c r="F14" s="8"/>
      <c r="G14" s="10" t="n">
        <f aca="false">IFERROR(HLOOKUP($A14,'Traceability Matrix'!$F$5:$Q$27,23,FALSE()),0)</f>
        <v>0</v>
      </c>
      <c r="H14" s="13" t="str">
        <f aca="false">IF($A14="","",IF($G14&gt;0,"Covered","GAP"))</f>
        <v>GAP</v>
      </c>
    </row>
    <row r="15" customFormat="false" ht="27.75" hidden="false" customHeight="true" outlineLevel="0" collapsed="false">
      <c r="A15" s="8" t="s">
        <v>27</v>
      </c>
      <c r="B15" s="9"/>
      <c r="C15" s="8"/>
      <c r="D15" s="8"/>
      <c r="E15" s="9"/>
      <c r="F15" s="8"/>
      <c r="G15" s="10" t="n">
        <f aca="false">IFERROR(HLOOKUP($A15,'Traceability Matrix'!$F$5:$Q$27,23,FALSE()),0)</f>
        <v>0</v>
      </c>
      <c r="H15" s="13" t="str">
        <f aca="false">IF($A15="","",IF($G15&gt;0,"Covered","GAP"))</f>
        <v>GAP</v>
      </c>
    </row>
    <row r="16" customFormat="false" ht="27.75" hidden="false" customHeight="true" outlineLevel="0" collapsed="false">
      <c r="A16" s="8" t="s">
        <v>28</v>
      </c>
      <c r="B16" s="9"/>
      <c r="C16" s="8"/>
      <c r="D16" s="8"/>
      <c r="E16" s="9"/>
      <c r="F16" s="8"/>
      <c r="G16" s="10" t="n">
        <f aca="false">IFERROR(HLOOKUP($A16,'Traceability Matrix'!$F$5:$Q$27,23,FALSE()),0)</f>
        <v>0</v>
      </c>
      <c r="H16" s="13" t="str">
        <f aca="false">IF($A16="","",IF($G16&gt;0,"Covered","GAP"))</f>
        <v>GAP</v>
      </c>
    </row>
    <row r="17" customFormat="false" ht="27.75" hidden="false" customHeight="true" outlineLevel="0" collapsed="false">
      <c r="A17" s="8" t="s">
        <v>29</v>
      </c>
      <c r="B17" s="9"/>
      <c r="C17" s="8"/>
      <c r="D17" s="8"/>
      <c r="E17" s="9"/>
      <c r="F17" s="8"/>
      <c r="G17" s="10" t="n">
        <f aca="false">IFERROR(HLOOKUP($A17,'Traceability Matrix'!$F$5:$Q$27,23,FALSE()),0)</f>
        <v>0</v>
      </c>
      <c r="H17" s="13" t="str">
        <f aca="false">IF($A17="","",IF($G17&gt;0,"Covered","GAP"))</f>
        <v>GAP</v>
      </c>
    </row>
    <row r="19" customFormat="false" ht="15" hidden="false" customHeight="false" outlineLevel="0" collapsed="false">
      <c r="B19" s="20" t="s">
        <v>108</v>
      </c>
      <c r="C19" s="20"/>
      <c r="D19" s="20"/>
      <c r="E19" s="20"/>
      <c r="F19" s="20"/>
      <c r="G19" s="20"/>
      <c r="H19" s="20"/>
    </row>
  </sheetData>
  <mergeCells count="3">
    <mergeCell ref="A1:H1"/>
    <mergeCell ref="A2:H2"/>
    <mergeCell ref="B19:H19"/>
  </mergeCells>
  <conditionalFormatting sqref="H6:H17">
    <cfRule type="cellIs" priority="2" operator="equal" aboveAverage="0" equalAverage="0" bottom="0" percent="0" rank="0" text="" dxfId="0">
      <formula>"GAP"</formula>
    </cfRule>
    <cfRule type="cellIs" priority="3" operator="equal" aboveAverage="0" equalAverage="0" bottom="0" percent="0" rank="0" text="" dxfId="1">
      <formula>"Covered"</formula>
    </cfRule>
  </conditionalFormatting>
  <dataValidations count="2">
    <dataValidation allowBlank="true" errorStyle="stop" operator="between" showDropDown="false" showErrorMessage="false" showInputMessage="false" sqref="D6:D17" type="list">
      <formula1>"Critical,High,Medium,Low"</formula1>
      <formula2>0</formula2>
    </dataValidation>
    <dataValidation allowBlank="true" errorStyle="stop" operator="between" showDropDown="false" showErrorMessage="false" showInputMessage="false" sqref="C6:C17" type="list">
      <formula1>"Functional,Non-Functional,Security,Compliance,Interface,Reporting"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4" min="4" style="0" width="32"/>
    <col collapsed="false" customWidth="true" hidden="false" outlineLevel="0" max="5" min="5" style="0" width="38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9" min="8" style="0" width="14"/>
  </cols>
  <sheetData>
    <row r="1" customFormat="false" ht="17.35" hidden="false" customHeight="false" outlineLevel="0" collapsed="false">
      <c r="A1" s="1" t="s">
        <v>109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19" t="s">
        <v>110</v>
      </c>
      <c r="B2" s="19"/>
      <c r="C2" s="19"/>
      <c r="D2" s="19"/>
      <c r="E2" s="19"/>
      <c r="F2" s="19"/>
      <c r="G2" s="19"/>
      <c r="H2" s="19"/>
      <c r="I2" s="19"/>
    </row>
    <row r="5" customFormat="false" ht="30" hidden="false" customHeight="true" outlineLevel="0" collapsed="false">
      <c r="A5" s="4" t="s">
        <v>13</v>
      </c>
      <c r="B5" s="4" t="s">
        <v>14</v>
      </c>
      <c r="C5" s="4" t="s">
        <v>15</v>
      </c>
      <c r="D5" s="4" t="s">
        <v>111</v>
      </c>
      <c r="E5" s="4" t="s">
        <v>112</v>
      </c>
      <c r="F5" s="4" t="s">
        <v>16</v>
      </c>
      <c r="G5" s="4" t="s">
        <v>113</v>
      </c>
      <c r="H5" s="4" t="s">
        <v>114</v>
      </c>
      <c r="I5" s="4" t="s">
        <v>115</v>
      </c>
    </row>
    <row r="6" customFormat="false" ht="27.75" hidden="false" customHeight="true" outlineLevel="0" collapsed="false">
      <c r="A6" s="8" t="s">
        <v>31</v>
      </c>
      <c r="B6" s="9" t="s">
        <v>32</v>
      </c>
      <c r="C6" s="8" t="s">
        <v>33</v>
      </c>
      <c r="D6" s="9" t="s">
        <v>116</v>
      </c>
      <c r="E6" s="9" t="s">
        <v>117</v>
      </c>
      <c r="F6" s="8" t="s">
        <v>34</v>
      </c>
      <c r="G6" s="8" t="s">
        <v>118</v>
      </c>
      <c r="H6" s="10" t="n">
        <f aca="false">IFERROR(INDEX('Traceability Matrix'!$E$7:$E$26,MATCH($A6,'Traceability Matrix'!$A$7:$A$26,0)),0)</f>
        <v>1</v>
      </c>
      <c r="I6" s="8"/>
    </row>
    <row r="7" customFormat="false" ht="27.75" hidden="false" customHeight="true" outlineLevel="0" collapsed="false">
      <c r="A7" s="8" t="s">
        <v>36</v>
      </c>
      <c r="B7" s="9" t="s">
        <v>37</v>
      </c>
      <c r="C7" s="8" t="s">
        <v>38</v>
      </c>
      <c r="D7" s="9" t="s">
        <v>119</v>
      </c>
      <c r="E7" s="9" t="s">
        <v>120</v>
      </c>
      <c r="F7" s="8" t="s">
        <v>34</v>
      </c>
      <c r="G7" s="8" t="s">
        <v>118</v>
      </c>
      <c r="H7" s="10" t="n">
        <f aca="false">IFERROR(INDEX('Traceability Matrix'!$E$7:$E$26,MATCH($A7,'Traceability Matrix'!$A$7:$A$26,0)),0)</f>
        <v>1</v>
      </c>
      <c r="I7" s="8"/>
    </row>
    <row r="8" customFormat="false" ht="27.75" hidden="false" customHeight="true" outlineLevel="0" collapsed="false">
      <c r="A8" s="8" t="s">
        <v>39</v>
      </c>
      <c r="B8" s="9" t="s">
        <v>40</v>
      </c>
      <c r="C8" s="8" t="s">
        <v>41</v>
      </c>
      <c r="D8" s="9" t="s">
        <v>121</v>
      </c>
      <c r="E8" s="9" t="s">
        <v>122</v>
      </c>
      <c r="F8" s="8" t="s">
        <v>42</v>
      </c>
      <c r="G8" s="8" t="s">
        <v>118</v>
      </c>
      <c r="H8" s="10" t="n">
        <f aca="false">IFERROR(INDEX('Traceability Matrix'!$E$7:$E$26,MATCH($A8,'Traceability Matrix'!$A$7:$A$26,0)),0)</f>
        <v>2</v>
      </c>
      <c r="I8" s="8" t="s">
        <v>123</v>
      </c>
    </row>
    <row r="9" customFormat="false" ht="27.75" hidden="false" customHeight="true" outlineLevel="0" collapsed="false">
      <c r="A9" s="8" t="s">
        <v>43</v>
      </c>
      <c r="B9" s="9" t="s">
        <v>44</v>
      </c>
      <c r="C9" s="8" t="s">
        <v>33</v>
      </c>
      <c r="D9" s="9" t="s">
        <v>124</v>
      </c>
      <c r="E9" s="9" t="s">
        <v>125</v>
      </c>
      <c r="F9" s="8" t="s">
        <v>45</v>
      </c>
      <c r="G9" s="8" t="s">
        <v>118</v>
      </c>
      <c r="H9" s="10" t="n">
        <f aca="false">IFERROR(INDEX('Traceability Matrix'!$E$7:$E$26,MATCH($A9,'Traceability Matrix'!$A$7:$A$26,0)),0)</f>
        <v>1</v>
      </c>
      <c r="I9" s="8" t="s">
        <v>126</v>
      </c>
    </row>
    <row r="10" customFormat="false" ht="27.75" hidden="false" customHeight="true" outlineLevel="0" collapsed="false">
      <c r="A10" s="8" t="s">
        <v>46</v>
      </c>
      <c r="B10" s="9" t="s">
        <v>47</v>
      </c>
      <c r="C10" s="8" t="s">
        <v>48</v>
      </c>
      <c r="D10" s="9" t="s">
        <v>127</v>
      </c>
      <c r="E10" s="9" t="s">
        <v>128</v>
      </c>
      <c r="F10" s="8" t="s">
        <v>49</v>
      </c>
      <c r="G10" s="8" t="s">
        <v>118</v>
      </c>
      <c r="H10" s="10" t="n">
        <f aca="false">IFERROR(INDEX('Traceability Matrix'!$E$7:$E$26,MATCH($A10,'Traceability Matrix'!$A$7:$A$26,0)),0)</f>
        <v>1</v>
      </c>
      <c r="I10" s="8"/>
    </row>
    <row r="11" customFormat="false" ht="27.75" hidden="false" customHeight="true" outlineLevel="0" collapsed="false">
      <c r="A11" s="8" t="s">
        <v>50</v>
      </c>
      <c r="B11" s="9"/>
      <c r="C11" s="8"/>
      <c r="D11" s="9"/>
      <c r="E11" s="9"/>
      <c r="F11" s="8"/>
      <c r="G11" s="8"/>
      <c r="H11" s="10" t="n">
        <f aca="false">IFERROR(INDEX('Traceability Matrix'!$E$7:$E$26,MATCH($A11,'Traceability Matrix'!$A$7:$A$26,0)),0)</f>
        <v>0</v>
      </c>
      <c r="I11" s="8"/>
    </row>
    <row r="12" customFormat="false" ht="27.75" hidden="false" customHeight="true" outlineLevel="0" collapsed="false">
      <c r="A12" s="8" t="s">
        <v>51</v>
      </c>
      <c r="B12" s="9"/>
      <c r="C12" s="8"/>
      <c r="D12" s="9"/>
      <c r="E12" s="9"/>
      <c r="F12" s="8"/>
      <c r="G12" s="8"/>
      <c r="H12" s="10" t="n">
        <f aca="false">IFERROR(INDEX('Traceability Matrix'!$E$7:$E$26,MATCH($A12,'Traceability Matrix'!$A$7:$A$26,0)),0)</f>
        <v>0</v>
      </c>
      <c r="I12" s="8"/>
    </row>
    <row r="13" customFormat="false" ht="27.75" hidden="false" customHeight="true" outlineLevel="0" collapsed="false">
      <c r="A13" s="8" t="s">
        <v>52</v>
      </c>
      <c r="B13" s="9"/>
      <c r="C13" s="8"/>
      <c r="D13" s="9"/>
      <c r="E13" s="9"/>
      <c r="F13" s="8"/>
      <c r="G13" s="8"/>
      <c r="H13" s="10" t="n">
        <f aca="false">IFERROR(INDEX('Traceability Matrix'!$E$7:$E$26,MATCH($A13,'Traceability Matrix'!$A$7:$A$26,0)),0)</f>
        <v>0</v>
      </c>
      <c r="I13" s="8"/>
    </row>
    <row r="14" customFormat="false" ht="27.75" hidden="false" customHeight="true" outlineLevel="0" collapsed="false">
      <c r="A14" s="8" t="s">
        <v>53</v>
      </c>
      <c r="B14" s="9"/>
      <c r="C14" s="8"/>
      <c r="D14" s="9"/>
      <c r="E14" s="9"/>
      <c r="F14" s="8"/>
      <c r="G14" s="8"/>
      <c r="H14" s="10" t="n">
        <f aca="false">IFERROR(INDEX('Traceability Matrix'!$E$7:$E$26,MATCH($A14,'Traceability Matrix'!$A$7:$A$26,0)),0)</f>
        <v>0</v>
      </c>
      <c r="I14" s="8"/>
    </row>
    <row r="15" customFormat="false" ht="27.75" hidden="false" customHeight="true" outlineLevel="0" collapsed="false">
      <c r="A15" s="8" t="s">
        <v>54</v>
      </c>
      <c r="B15" s="9"/>
      <c r="C15" s="8"/>
      <c r="D15" s="9"/>
      <c r="E15" s="9"/>
      <c r="F15" s="8"/>
      <c r="G15" s="8"/>
      <c r="H15" s="10" t="n">
        <f aca="false">IFERROR(INDEX('Traceability Matrix'!$E$7:$E$26,MATCH($A15,'Traceability Matrix'!$A$7:$A$26,0)),0)</f>
        <v>0</v>
      </c>
      <c r="I15" s="8"/>
    </row>
    <row r="16" customFormat="false" ht="27.75" hidden="false" customHeight="true" outlineLevel="0" collapsed="false">
      <c r="A16" s="8" t="s">
        <v>55</v>
      </c>
      <c r="B16" s="9"/>
      <c r="C16" s="8"/>
      <c r="D16" s="9"/>
      <c r="E16" s="9"/>
      <c r="F16" s="8"/>
      <c r="G16" s="8"/>
      <c r="H16" s="10" t="n">
        <f aca="false">IFERROR(INDEX('Traceability Matrix'!$E$7:$E$26,MATCH($A16,'Traceability Matrix'!$A$7:$A$26,0)),0)</f>
        <v>0</v>
      </c>
      <c r="I16" s="8"/>
    </row>
    <row r="17" customFormat="false" ht="27.75" hidden="false" customHeight="true" outlineLevel="0" collapsed="false">
      <c r="A17" s="8" t="s">
        <v>56</v>
      </c>
      <c r="B17" s="9"/>
      <c r="C17" s="8"/>
      <c r="D17" s="9"/>
      <c r="E17" s="9"/>
      <c r="F17" s="8"/>
      <c r="G17" s="8"/>
      <c r="H17" s="10" t="n">
        <f aca="false">IFERROR(INDEX('Traceability Matrix'!$E$7:$E$26,MATCH($A17,'Traceability Matrix'!$A$7:$A$26,0)),0)</f>
        <v>0</v>
      </c>
      <c r="I17" s="8"/>
    </row>
    <row r="18" customFormat="false" ht="27.75" hidden="false" customHeight="true" outlineLevel="0" collapsed="false">
      <c r="A18" s="8" t="s">
        <v>57</v>
      </c>
      <c r="B18" s="9"/>
      <c r="C18" s="8"/>
      <c r="D18" s="9"/>
      <c r="E18" s="9"/>
      <c r="F18" s="8"/>
      <c r="G18" s="8"/>
      <c r="H18" s="10" t="n">
        <f aca="false">IFERROR(INDEX('Traceability Matrix'!$E$7:$E$26,MATCH($A18,'Traceability Matrix'!$A$7:$A$26,0)),0)</f>
        <v>0</v>
      </c>
      <c r="I18" s="8"/>
    </row>
    <row r="19" customFormat="false" ht="27.75" hidden="false" customHeight="true" outlineLevel="0" collapsed="false">
      <c r="A19" s="8" t="s">
        <v>58</v>
      </c>
      <c r="B19" s="9"/>
      <c r="C19" s="8"/>
      <c r="D19" s="9"/>
      <c r="E19" s="9"/>
      <c r="F19" s="8"/>
      <c r="G19" s="8"/>
      <c r="H19" s="10" t="n">
        <f aca="false">IFERROR(INDEX('Traceability Matrix'!$E$7:$E$26,MATCH($A19,'Traceability Matrix'!$A$7:$A$26,0)),0)</f>
        <v>0</v>
      </c>
      <c r="I19" s="8"/>
    </row>
    <row r="20" customFormat="false" ht="27.75" hidden="false" customHeight="true" outlineLevel="0" collapsed="false">
      <c r="A20" s="8" t="s">
        <v>59</v>
      </c>
      <c r="B20" s="9"/>
      <c r="C20" s="8"/>
      <c r="D20" s="9"/>
      <c r="E20" s="9"/>
      <c r="F20" s="8"/>
      <c r="G20" s="8"/>
      <c r="H20" s="10" t="n">
        <f aca="false">IFERROR(INDEX('Traceability Matrix'!$E$7:$E$26,MATCH($A20,'Traceability Matrix'!$A$7:$A$26,0)),0)</f>
        <v>0</v>
      </c>
      <c r="I20" s="8"/>
    </row>
    <row r="21" customFormat="false" ht="27.75" hidden="false" customHeight="true" outlineLevel="0" collapsed="false">
      <c r="A21" s="8" t="s">
        <v>60</v>
      </c>
      <c r="B21" s="9"/>
      <c r="C21" s="8"/>
      <c r="D21" s="9"/>
      <c r="E21" s="9"/>
      <c r="F21" s="8"/>
      <c r="G21" s="8"/>
      <c r="H21" s="10" t="n">
        <f aca="false">IFERROR(INDEX('Traceability Matrix'!$E$7:$E$26,MATCH($A21,'Traceability Matrix'!$A$7:$A$26,0)),0)</f>
        <v>0</v>
      </c>
      <c r="I21" s="8"/>
    </row>
    <row r="22" customFormat="false" ht="27.75" hidden="false" customHeight="true" outlineLevel="0" collapsed="false">
      <c r="A22" s="8" t="s">
        <v>61</v>
      </c>
      <c r="B22" s="9"/>
      <c r="C22" s="8"/>
      <c r="D22" s="9"/>
      <c r="E22" s="9"/>
      <c r="F22" s="8"/>
      <c r="G22" s="8"/>
      <c r="H22" s="10" t="n">
        <f aca="false">IFERROR(INDEX('Traceability Matrix'!$E$7:$E$26,MATCH($A22,'Traceability Matrix'!$A$7:$A$26,0)),0)</f>
        <v>0</v>
      </c>
      <c r="I22" s="8"/>
    </row>
    <row r="23" customFormat="false" ht="27.75" hidden="false" customHeight="true" outlineLevel="0" collapsed="false">
      <c r="A23" s="8" t="s">
        <v>62</v>
      </c>
      <c r="B23" s="9"/>
      <c r="C23" s="8"/>
      <c r="D23" s="9"/>
      <c r="E23" s="9"/>
      <c r="F23" s="8"/>
      <c r="G23" s="8"/>
      <c r="H23" s="10" t="n">
        <f aca="false">IFERROR(INDEX('Traceability Matrix'!$E$7:$E$26,MATCH($A23,'Traceability Matrix'!$A$7:$A$26,0)),0)</f>
        <v>0</v>
      </c>
      <c r="I23" s="8"/>
    </row>
    <row r="24" customFormat="false" ht="27.75" hidden="false" customHeight="true" outlineLevel="0" collapsed="false">
      <c r="A24" s="8" t="s">
        <v>63</v>
      </c>
      <c r="B24" s="9"/>
      <c r="C24" s="8"/>
      <c r="D24" s="9"/>
      <c r="E24" s="9"/>
      <c r="F24" s="8"/>
      <c r="G24" s="8"/>
      <c r="H24" s="10" t="n">
        <f aca="false">IFERROR(INDEX('Traceability Matrix'!$E$7:$E$26,MATCH($A24,'Traceability Matrix'!$A$7:$A$26,0)),0)</f>
        <v>0</v>
      </c>
      <c r="I24" s="8"/>
    </row>
    <row r="25" customFormat="false" ht="27.75" hidden="false" customHeight="true" outlineLevel="0" collapsed="false">
      <c r="A25" s="8" t="s">
        <v>64</v>
      </c>
      <c r="B25" s="9"/>
      <c r="C25" s="8"/>
      <c r="D25" s="9"/>
      <c r="E25" s="9"/>
      <c r="F25" s="8"/>
      <c r="G25" s="8"/>
      <c r="H25" s="10" t="n">
        <f aca="false">IFERROR(INDEX('Traceability Matrix'!$E$7:$E$26,MATCH($A25,'Traceability Matrix'!$A$7:$A$26,0)),0)</f>
        <v>0</v>
      </c>
      <c r="I25" s="8"/>
    </row>
    <row r="27" customFormat="false" ht="15" hidden="false" customHeight="false" outlineLevel="0" collapsed="false">
      <c r="B27" s="20" t="s">
        <v>129</v>
      </c>
      <c r="C27" s="20"/>
      <c r="D27" s="20"/>
      <c r="E27" s="20"/>
      <c r="F27" s="20"/>
      <c r="G27" s="20"/>
      <c r="H27" s="20"/>
      <c r="I27" s="20"/>
    </row>
  </sheetData>
  <mergeCells count="3">
    <mergeCell ref="A1:I1"/>
    <mergeCell ref="A2:I2"/>
    <mergeCell ref="B27:I27"/>
  </mergeCells>
  <conditionalFormatting sqref="F6:F25">
    <cfRule type="cellIs" priority="2" operator="equal" aboveAverage="0" equalAverage="0" bottom="0" percent="0" rank="0" text="" dxfId="1">
      <formula>"Pass"</formula>
    </cfRule>
    <cfRule type="cellIs" priority="3" operator="equal" aboveAverage="0" equalAverage="0" bottom="0" percent="0" rank="0" text="" dxfId="0">
      <formula>"Fail"</formula>
    </cfRule>
    <cfRule type="cellIs" priority="4" operator="equal" aboveAverage="0" equalAverage="0" bottom="0" percent="0" rank="0" text="" dxfId="2">
      <formula>"Blocked"</formula>
    </cfRule>
  </conditionalFormatting>
  <conditionalFormatting sqref="H6:H25">
    <cfRule type="cellIs" priority="5" operator="equal" aboveAverage="0" equalAverage="0" bottom="0" percent="0" rank="0" text="" dxfId="0">
      <formula>0</formula>
    </cfRule>
  </conditionalFormatting>
  <dataValidations count="1">
    <dataValidation allowBlank="true" errorStyle="stop" operator="between" showDropDown="false" showErrorMessage="false" showInputMessage="false" sqref="F6:F25" type="list">
      <formula1>"Pass,Fail,Blocked,Not Run,Deferred"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2026-09-19T17:31:40Z</dcterms:created>
  <dc:creator>openpyxl</dc:creator>
  <dc:description/>
  <dc:language>en-US</dc:language>
  <cp:lastModifiedBy/>
  <dcterms:modified xsi:type="dcterms:W3CDTF">2026-09-19T17:31:40Z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